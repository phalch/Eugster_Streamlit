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ehaldemann/Jupiter/Eugster/"/>
    </mc:Choice>
  </mc:AlternateContent>
  <xr:revisionPtr revIDLastSave="0" documentId="13_ncr:1_{8E462A7D-3297-3D41-95E7-AF1FF07543FF}" xr6:coauthVersionLast="47" xr6:coauthVersionMax="47" xr10:uidLastSave="{00000000-0000-0000-0000-000000000000}"/>
  <bookViews>
    <workbookView xWindow="9260" yWindow="680" windowWidth="29400" windowHeight="17580" activeTab="1" xr2:uid="{00000000-000D-0000-FFFF-FFFF00000000}"/>
  </bookViews>
  <sheets>
    <sheet name="Thal-Pro" sheetId="3" r:id="rId1"/>
    <sheet name="Thal-Pro 2" sheetId="4" r:id="rId2"/>
    <sheet name="Grab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F19" i="5" s="1"/>
  <c r="H26" i="3"/>
</calcChain>
</file>

<file path=xl/sharedStrings.xml><?xml version="1.0" encoding="utf-8"?>
<sst xmlns="http://schemas.openxmlformats.org/spreadsheetml/2006/main" count="285" uniqueCount="71">
  <si>
    <r>
      <rPr>
        <sz val="8"/>
        <color rgb="FF0E2841"/>
        <rFont val="Arial MT"/>
        <family val="2"/>
      </rPr>
      <t>exkl. MWST</t>
    </r>
  </si>
  <si>
    <r>
      <rPr>
        <sz val="8"/>
        <color rgb="FF0E2841"/>
        <rFont val="Arial MT"/>
        <family val="2"/>
      </rPr>
      <t>inkl. MWST</t>
    </r>
  </si>
  <si>
    <r>
      <rPr>
        <b/>
        <i/>
        <sz val="12"/>
        <color rgb="FF0E2841"/>
        <rFont val="Arial"/>
        <family val="2"/>
      </rPr>
      <t>Energielieferung</t>
    </r>
  </si>
  <si>
    <r>
      <rPr>
        <sz val="10"/>
        <color rgb="FF0E2841"/>
        <rFont val="Arial MT"/>
        <family val="2"/>
      </rPr>
      <t>Tarifzeit 1 Sommer</t>
    </r>
  </si>
  <si>
    <r>
      <rPr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</si>
  <si>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>Tarifzeit 2 Sommer</t>
    </r>
  </si>
  <si>
    <r>
      <rPr>
        <sz val="10"/>
        <color rgb="FF0E2841"/>
        <rFont val="Arial MT"/>
        <family val="2"/>
      </rPr>
      <t>Tarifzeit 1 Winter</t>
    </r>
  </si>
  <si>
    <r>
      <rPr>
        <sz val="10"/>
        <color rgb="FF0E2841"/>
        <rFont val="Arial MT"/>
        <family val="2"/>
      </rPr>
      <t>Tarifzeit 2 Winter</t>
    </r>
  </si>
  <si>
    <r>
      <rPr>
        <b/>
        <i/>
        <sz val="12"/>
        <color rgb="FF0E2841"/>
        <rFont val="Arial"/>
        <family val="2"/>
      </rPr>
      <t>Netznutzung</t>
    </r>
  </si>
  <si>
    <r>
      <rPr>
        <sz val="10"/>
        <color rgb="FF0E2841"/>
        <rFont val="Arial MT"/>
        <family val="2"/>
      </rPr>
      <t>Leistungspreis</t>
    </r>
  </si>
  <si>
    <r>
      <rPr>
        <sz val="8"/>
        <color rgb="FF0E2841"/>
        <rFont val="Arial MT"/>
        <family val="2"/>
      </rPr>
      <t>CHF/kW/Mt.</t>
    </r>
  </si>
  <si>
    <r>
      <rPr>
        <sz val="10"/>
        <color rgb="FF0E2841"/>
        <rFont val="Arial MT"/>
        <family val="2"/>
      </rPr>
      <t>Tarifzeit 1</t>
    </r>
  </si>
  <si>
    <r>
      <rPr>
        <sz val="10"/>
        <color rgb="FF0E2841"/>
        <rFont val="Arial MT"/>
        <family val="2"/>
      </rPr>
      <t>Tarifzeit 2</t>
    </r>
  </si>
  <si>
    <r>
      <rPr>
        <sz val="10"/>
        <color rgb="FF0E2841"/>
        <rFont val="Arial MT"/>
        <family val="2"/>
      </rPr>
      <t>Blindenergie Überbezug</t>
    </r>
  </si>
  <si>
    <r>
      <rPr>
        <sz val="8"/>
        <color rgb="FF0E2841"/>
        <rFont val="Arial MT"/>
        <family val="2"/>
      </rPr>
      <t>Rp./kvar</t>
    </r>
  </si>
  <si>
    <r>
      <rPr>
        <sz val="10"/>
        <color rgb="FF0E2841"/>
        <rFont val="Arial MT"/>
        <family val="2"/>
      </rPr>
      <t xml:space="preserve">Systemdienstleistung (SDL)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</si>
  <si>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Stromreserve                                                                                </t>
    </r>
    <r>
      <rPr>
        <vertAlign val="subscript"/>
        <sz val="8"/>
        <color rgb="FF0E2841"/>
        <rFont val="Arial MT"/>
        <family val="2"/>
      </rPr>
      <t>Rp./kWh</t>
    </r>
  </si>
  <si>
    <r>
      <rPr>
        <sz val="10"/>
        <color rgb="FF0E2841"/>
        <rFont val="Arial MT"/>
        <family val="2"/>
      </rPr>
      <t xml:space="preserve">Solidarisierte Kosten
</t>
    </r>
    <r>
      <rPr>
        <sz val="7"/>
        <color rgb="FF0E2841"/>
        <rFont val="Arial MT"/>
        <family val="2"/>
      </rPr>
      <t>Bundesabgabe (Netzverstärkungen und Überbrückungshilfen Stahl- u. Aluindustrie)</t>
    </r>
  </si>
  <si>
    <r>
      <rPr>
        <b/>
        <i/>
        <sz val="12"/>
        <color rgb="FF002060"/>
        <rFont val="Arial"/>
        <family val="2"/>
      </rPr>
      <t>Messtarif</t>
    </r>
  </si>
  <si>
    <r>
      <rPr>
        <sz val="10"/>
        <color rgb="FF0E2841"/>
        <rFont val="Arial MT"/>
        <family val="2"/>
      </rPr>
      <t>pro Zähler</t>
    </r>
  </si>
  <si>
    <r>
      <rPr>
        <sz val="8"/>
        <color rgb="FF0E2841"/>
        <rFont val="Arial MT"/>
        <family val="2"/>
      </rPr>
      <t>CHF/Monat</t>
    </r>
  </si>
  <si>
    <r>
      <rPr>
        <b/>
        <i/>
        <sz val="12"/>
        <color rgb="FF0E2841"/>
        <rFont val="Arial"/>
        <family val="2"/>
      </rPr>
      <t>Abgaben</t>
    </r>
  </si>
  <si>
    <r>
      <rPr>
        <sz val="10"/>
        <color rgb="FF0E2841"/>
        <rFont val="Arial MT"/>
        <family val="2"/>
      </rPr>
      <t>Netzzuschlag</t>
    </r>
  </si>
  <si>
    <r>
      <rPr>
        <sz val="10"/>
        <color rgb="FF0E2841"/>
        <rFont val="Arial MT"/>
        <family val="2"/>
      </rPr>
      <t>Gemeindeabgaben</t>
    </r>
  </si>
  <si>
    <r>
      <rPr>
        <b/>
        <i/>
        <sz val="12"/>
        <color rgb="FF0E2841"/>
        <rFont val="Arial"/>
        <family val="2"/>
      </rPr>
      <t>Total</t>
    </r>
  </si>
  <si>
    <r>
      <rPr>
        <sz val="10"/>
        <color rgb="FF0E2841"/>
        <rFont val="Arial MT"/>
        <family val="2"/>
      </rPr>
      <t>Fixpreis pro Zähler</t>
    </r>
  </si>
  <si>
    <r>
      <rPr>
        <sz val="7"/>
        <color rgb="FF0E2841"/>
        <rFont val="Arial MT"/>
        <family val="2"/>
      </rPr>
      <t>Bundesabgabe (Wasserkraft und andere Reserven)</t>
    </r>
  </si>
  <si>
    <t xml:space="preserve">Technische Betriebe Thal </t>
  </si>
  <si>
    <t>Tarifzeiten</t>
  </si>
  <si>
    <t>Tarifzeiten 1</t>
  </si>
  <si>
    <t>Montag - Freitag 07:00 -19:00 Uhr</t>
  </si>
  <si>
    <t>Tarifzeiten 2</t>
  </si>
  <si>
    <t>Ubrige Zeit</t>
  </si>
  <si>
    <t>Winter</t>
  </si>
  <si>
    <t>1.10 - 31.3</t>
  </si>
  <si>
    <t xml:space="preserve">Sommer </t>
  </si>
  <si>
    <t>Übrige Zeit</t>
  </si>
  <si>
    <t xml:space="preserve">LUNDI </t>
  </si>
  <si>
    <t>MARDI</t>
  </si>
  <si>
    <t>MERCREDI</t>
  </si>
  <si>
    <t>JEUDI</t>
  </si>
  <si>
    <t>VENDREDI</t>
  </si>
  <si>
    <t>SAMEDI</t>
  </si>
  <si>
    <t>DIMANCHE</t>
  </si>
  <si>
    <t>Timeframe</t>
  </si>
  <si>
    <t>Tarif</t>
  </si>
  <si>
    <t>"TZ2"</t>
  </si>
  <si>
    <t>"TZ1"</t>
  </si>
  <si>
    <t>Été</t>
  </si>
  <si>
    <t>Hiver I</t>
  </si>
  <si>
    <t>Hiver II</t>
  </si>
  <si>
    <t>Tarifzeit 1 Sommer</t>
  </si>
  <si>
    <r>
      <rPr>
        <sz val="11"/>
        <color rgb="FF0E2841"/>
        <rFont val="Arial MT"/>
        <family val="2"/>
      </rPr>
      <t>Tarifzeit 2 Sommer</t>
    </r>
  </si>
  <si>
    <r>
      <rPr>
        <sz val="11"/>
        <color rgb="FF0E2841"/>
        <rFont val="Arial MT"/>
        <family val="2"/>
      </rPr>
      <t>Tarifzeit 1 Winter</t>
    </r>
  </si>
  <si>
    <r>
      <rPr>
        <sz val="11"/>
        <color rgb="FF0E2841"/>
        <rFont val="Arial MT"/>
        <family val="2"/>
      </rPr>
      <t>Tarifzeit 2 Winter</t>
    </r>
  </si>
  <si>
    <r>
      <rPr>
        <sz val="11"/>
        <color rgb="FF0E2841"/>
        <rFont val="Arial MT"/>
        <family val="2"/>
      </rPr>
      <t>Leistungspreis</t>
    </r>
  </si>
  <si>
    <r>
      <rPr>
        <sz val="11"/>
        <color rgb="FF0E2841"/>
        <rFont val="Arial MT"/>
        <family val="2"/>
      </rPr>
      <t>CHF/kW/Mt.</t>
    </r>
  </si>
  <si>
    <r>
      <rPr>
        <sz val="11"/>
        <color rgb="FF0E2841"/>
        <rFont val="Arial MT"/>
        <family val="2"/>
      </rPr>
      <t>Fixpreis pro Zähler</t>
    </r>
  </si>
  <si>
    <r>
      <rPr>
        <sz val="11"/>
        <color rgb="FF0E2841"/>
        <rFont val="Arial MT"/>
        <family val="2"/>
      </rPr>
      <t>CHF/Monat</t>
    </r>
  </si>
  <si>
    <t>NS PRO (400 V, 230 V) 2026</t>
  </si>
  <si>
    <t>davon andere</t>
  </si>
  <si>
    <t>ohne MWST</t>
  </si>
  <si>
    <t>CHF/kWh</t>
  </si>
  <si>
    <t>aussi appele redevance</t>
  </si>
  <si>
    <t>T</t>
  </si>
  <si>
    <t>Grab</t>
  </si>
  <si>
    <t>davon Energie</t>
  </si>
  <si>
    <t>Techniche Betriebe Thal</t>
  </si>
  <si>
    <t xml:space="preserve">Model I </t>
  </si>
  <si>
    <t>dito</t>
  </si>
  <si>
    <t>Vergütung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</si>
</sst>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0.000"/>
    <numFmt numFmtId="166" formatCode="0.0000"/>
  </numFmts>
  <fonts count="24">
    <font>
      <sz val="10"/>
      <color rgb="FF000000"/>
      <name val="Times New Roman"/>
      <charset val="204"/>
    </font>
    <font>
      <b/>
      <i/>
      <sz val="12"/>
      <name val="Arial"/>
      <family val="2"/>
    </font>
    <font>
      <sz val="8"/>
      <name val="Arial MT"/>
    </font>
    <font>
      <sz val="10"/>
      <name val="Arial MT"/>
    </font>
    <font>
      <sz val="10"/>
      <color rgb="FF0E2841"/>
      <name val="Arial MT"/>
      <family val="2"/>
    </font>
    <font>
      <sz val="7"/>
      <name val="Arial MT"/>
    </font>
    <font>
      <sz val="8"/>
      <color rgb="FF0E2841"/>
      <name val="Arial MT"/>
      <family val="2"/>
    </font>
    <font>
      <b/>
      <i/>
      <sz val="12"/>
      <color rgb="FF0E2841"/>
      <name val="Arial"/>
      <family val="2"/>
    </font>
    <font>
      <vertAlign val="subscript"/>
      <sz val="8"/>
      <color rgb="FF0E2841"/>
      <name val="Arial MT"/>
      <family val="2"/>
    </font>
    <font>
      <sz val="7"/>
      <color rgb="FF0E2841"/>
      <name val="Arial MT"/>
      <family val="2"/>
    </font>
    <font>
      <b/>
      <i/>
      <sz val="12"/>
      <color rgb="FF002060"/>
      <name val="Arial"/>
      <family val="2"/>
    </font>
    <font>
      <sz val="10"/>
      <color rgb="FF000000"/>
      <name val="Times New Roman"/>
      <family val="1"/>
    </font>
    <font>
      <b/>
      <sz val="16"/>
      <color rgb="FF000000"/>
      <name val="Helvetica"/>
      <family val="2"/>
    </font>
    <font>
      <b/>
      <i/>
      <sz val="10"/>
      <color rgb="FF000000"/>
      <name val="Arial"/>
      <family val="2"/>
    </font>
    <font>
      <sz val="8"/>
      <name val="Times New Roman"/>
      <family val="1"/>
    </font>
    <font>
      <b/>
      <sz val="10"/>
      <color rgb="FF000000"/>
      <name val="Times New Roman"/>
      <family val="1"/>
    </font>
    <font>
      <sz val="11"/>
      <color rgb="FF0E2841"/>
      <name val="Arial MT"/>
      <family val="2"/>
    </font>
    <font>
      <sz val="11"/>
      <name val="Arial MT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E2841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44B3E1"/>
      </top>
      <bottom style="thin">
        <color rgb="FF44B3E1"/>
      </bottom>
      <diagonal/>
    </border>
    <border>
      <left/>
      <right style="medium">
        <color indexed="64"/>
      </right>
      <top style="thin">
        <color rgb="FF44B3E1"/>
      </top>
      <bottom style="thin">
        <color rgb="FF44B3E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44B3E1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indent="1" shrinkToFit="1"/>
    </xf>
    <xf numFmtId="2" fontId="4" fillId="0" borderId="1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indent="1" shrinkToFit="1"/>
    </xf>
    <xf numFmtId="2" fontId="4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 indent="1"/>
    </xf>
    <xf numFmtId="0" fontId="5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3" fillId="0" borderId="0" xfId="0" applyFont="1" applyAlignment="1">
      <alignment horizontal="left" vertical="top"/>
    </xf>
    <xf numFmtId="0" fontId="0" fillId="0" borderId="0" xfId="0"/>
    <xf numFmtId="2" fontId="11" fillId="2" borderId="4" xfId="0" quotePrefix="1" applyNumberFormat="1" applyFont="1" applyFill="1" applyBorder="1"/>
    <xf numFmtId="2" fontId="11" fillId="0" borderId="4" xfId="0" quotePrefix="1" applyNumberFormat="1" applyFont="1" applyBorder="1"/>
    <xf numFmtId="22" fontId="11" fillId="0" borderId="0" xfId="0" applyNumberFormat="1" applyFont="1"/>
    <xf numFmtId="164" fontId="11" fillId="0" borderId="0" xfId="0" applyNumberFormat="1" applyFont="1"/>
    <xf numFmtId="21" fontId="11" fillId="0" borderId="0" xfId="0" applyNumberFormat="1" applyFont="1"/>
    <xf numFmtId="0" fontId="15" fillId="0" borderId="0" xfId="0" applyFont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right" vertical="top" wrapText="1"/>
    </xf>
    <xf numFmtId="0" fontId="18" fillId="0" borderId="0" xfId="0" applyFont="1" applyAlignment="1">
      <alignment horizontal="left" wrapText="1"/>
    </xf>
    <xf numFmtId="0" fontId="17" fillId="0" borderId="3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22" fontId="18" fillId="0" borderId="0" xfId="0" applyNumberFormat="1" applyFont="1" applyAlignment="1">
      <alignment horizontal="left" vertical="top"/>
    </xf>
    <xf numFmtId="0" fontId="4" fillId="0" borderId="3" xfId="0" applyFont="1" applyBorder="1" applyAlignment="1">
      <alignment horizontal="right" vertical="top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right" vertical="top"/>
    </xf>
    <xf numFmtId="0" fontId="16" fillId="0" borderId="3" xfId="0" applyFont="1" applyBorder="1" applyAlignment="1">
      <alignment horizontal="right" vertical="top" wrapText="1"/>
    </xf>
    <xf numFmtId="0" fontId="16" fillId="0" borderId="3" xfId="0" applyFont="1" applyBorder="1" applyAlignment="1">
      <alignment horizontal="right" indent="1" shrinkToFit="1"/>
    </xf>
    <xf numFmtId="0" fontId="19" fillId="0" borderId="0" xfId="0" applyFont="1" applyAlignment="1">
      <alignment horizontal="right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6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22" fontId="18" fillId="0" borderId="13" xfId="0" applyNumberFormat="1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14" xfId="0" applyFont="1" applyBorder="1" applyAlignment="1">
      <alignment horizontal="left" vertical="top"/>
    </xf>
    <xf numFmtId="165" fontId="20" fillId="0" borderId="9" xfId="0" applyNumberFormat="1" applyFont="1" applyBorder="1" applyAlignment="1">
      <alignment horizontal="left" vertical="top"/>
    </xf>
    <xf numFmtId="0" fontId="18" fillId="0" borderId="0" xfId="0" applyFont="1" applyAlignment="1">
      <alignment horizontal="right" vertical="top"/>
    </xf>
    <xf numFmtId="165" fontId="21" fillId="0" borderId="15" xfId="0" applyNumberFormat="1" applyFont="1" applyBorder="1" applyAlignment="1">
      <alignment horizontal="right" vertical="top" indent="1" shrinkToFit="1"/>
    </xf>
    <xf numFmtId="165" fontId="21" fillId="0" borderId="11" xfId="0" applyNumberFormat="1" applyFont="1" applyBorder="1" applyAlignment="1">
      <alignment horizontal="right" vertical="top" indent="1" shrinkToFit="1"/>
    </xf>
    <xf numFmtId="0" fontId="22" fillId="0" borderId="5" xfId="0" applyFont="1" applyBorder="1" applyAlignment="1">
      <alignment horizontal="left" vertical="top"/>
    </xf>
    <xf numFmtId="0" fontId="19" fillId="0" borderId="6" xfId="0" applyFont="1" applyBorder="1" applyAlignment="1">
      <alignment horizontal="left" vertical="top"/>
    </xf>
    <xf numFmtId="0" fontId="19" fillId="0" borderId="1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166" fontId="16" fillId="0" borderId="3" xfId="0" applyNumberFormat="1" applyFont="1" applyBorder="1" applyAlignment="1">
      <alignment horizontal="right" indent="1" shrinkToFit="1"/>
    </xf>
    <xf numFmtId="166" fontId="16" fillId="0" borderId="3" xfId="0" applyNumberFormat="1" applyFont="1" applyBorder="1" applyAlignment="1">
      <alignment horizontal="right" shrinkToFit="1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1"/>
  <sheetViews>
    <sheetView zoomScale="121" zoomScaleNormal="121" workbookViewId="0">
      <selection activeCell="D8" sqref="D8:D11"/>
    </sheetView>
  </sheetViews>
  <sheetFormatPr baseColWidth="10" defaultColWidth="9" defaultRowHeight="13"/>
  <cols>
    <col min="1" max="1" width="57.3984375" customWidth="1"/>
    <col min="2" max="2" width="16.59765625" customWidth="1"/>
    <col min="3" max="3" width="8.796875" customWidth="1"/>
    <col min="4" max="4" width="17.59765625" customWidth="1"/>
    <col min="5" max="5" width="15.19921875" customWidth="1"/>
    <col min="8" max="8" width="19.19921875" customWidth="1"/>
    <col min="9" max="9" width="29.796875" customWidth="1"/>
  </cols>
  <sheetData>
    <row r="2" spans="1:9" s="21" customFormat="1" ht="21">
      <c r="A2" s="21" t="s">
        <v>27</v>
      </c>
      <c r="B2" s="75" t="s">
        <v>59</v>
      </c>
      <c r="C2" s="75"/>
      <c r="D2" s="75"/>
      <c r="E2" s="75"/>
    </row>
    <row r="6" spans="1:9" ht="15" customHeight="1">
      <c r="A6" s="71"/>
      <c r="B6" s="72"/>
      <c r="C6" s="72"/>
      <c r="D6" s="2" t="s">
        <v>0</v>
      </c>
      <c r="E6" s="2" t="s">
        <v>1</v>
      </c>
    </row>
    <row r="7" spans="1:9" ht="17.25" customHeight="1">
      <c r="A7" s="3" t="s">
        <v>2</v>
      </c>
      <c r="B7" s="4"/>
      <c r="C7" s="1"/>
      <c r="D7" s="5"/>
      <c r="E7" s="5"/>
      <c r="H7" s="23" t="s">
        <v>28</v>
      </c>
    </row>
    <row r="8" spans="1:9" ht="16.75" customHeight="1">
      <c r="A8" s="6" t="s">
        <v>3</v>
      </c>
      <c r="B8" s="7" t="s">
        <v>4</v>
      </c>
      <c r="C8" s="1"/>
      <c r="D8" s="8">
        <v>9.5</v>
      </c>
      <c r="E8" s="9">
        <v>10.27</v>
      </c>
      <c r="H8" s="20" t="s">
        <v>29</v>
      </c>
      <c r="I8" s="20" t="s">
        <v>30</v>
      </c>
    </row>
    <row r="9" spans="1:9" ht="16.75" customHeight="1">
      <c r="A9" s="6" t="s">
        <v>5</v>
      </c>
      <c r="B9" s="7" t="s">
        <v>4</v>
      </c>
      <c r="C9" s="1"/>
      <c r="D9" s="10">
        <v>9.1</v>
      </c>
      <c r="E9" s="11">
        <v>9.84</v>
      </c>
      <c r="H9" s="20" t="s">
        <v>31</v>
      </c>
      <c r="I9" s="20" t="s">
        <v>32</v>
      </c>
    </row>
    <row r="10" spans="1:9" ht="16.75" customHeight="1">
      <c r="A10" s="6" t="s">
        <v>6</v>
      </c>
      <c r="B10" s="7" t="s">
        <v>4</v>
      </c>
      <c r="C10" s="1"/>
      <c r="D10" s="10">
        <v>15.4</v>
      </c>
      <c r="E10" s="11">
        <v>16.649999999999999</v>
      </c>
      <c r="H10" s="20" t="s">
        <v>33</v>
      </c>
      <c r="I10" s="20" t="s">
        <v>34</v>
      </c>
    </row>
    <row r="11" spans="1:9" ht="16.75" customHeight="1">
      <c r="A11" s="6" t="s">
        <v>7</v>
      </c>
      <c r="B11" s="7" t="s">
        <v>4</v>
      </c>
      <c r="C11" s="1"/>
      <c r="D11" s="10">
        <v>12.5</v>
      </c>
      <c r="E11" s="11">
        <v>13.51</v>
      </c>
      <c r="H11" s="20" t="s">
        <v>35</v>
      </c>
      <c r="I11" s="20" t="s">
        <v>36</v>
      </c>
    </row>
    <row r="12" spans="1:9" ht="34.5" customHeight="1">
      <c r="A12" s="12" t="s">
        <v>8</v>
      </c>
      <c r="B12" s="13"/>
      <c r="C12" s="14"/>
      <c r="D12" s="15"/>
      <c r="E12" s="15"/>
    </row>
    <row r="13" spans="1:9" ht="16.75" customHeight="1">
      <c r="A13" s="6" t="s">
        <v>9</v>
      </c>
      <c r="B13" s="7" t="s">
        <v>10</v>
      </c>
      <c r="C13" s="1"/>
      <c r="D13" s="8">
        <v>8</v>
      </c>
      <c r="E13" s="9">
        <v>8.65</v>
      </c>
    </row>
    <row r="14" spans="1:9" ht="16.75" customHeight="1">
      <c r="A14" s="6" t="s">
        <v>11</v>
      </c>
      <c r="B14" s="7" t="s">
        <v>4</v>
      </c>
      <c r="C14" s="1"/>
      <c r="D14" s="10">
        <v>7.4</v>
      </c>
      <c r="E14" s="11">
        <v>8</v>
      </c>
    </row>
    <row r="15" spans="1:9" ht="16.75" customHeight="1">
      <c r="A15" s="6" t="s">
        <v>12</v>
      </c>
      <c r="B15" s="7" t="s">
        <v>4</v>
      </c>
      <c r="C15" s="1"/>
      <c r="D15" s="10">
        <v>4.0999999999999996</v>
      </c>
      <c r="E15" s="11">
        <v>4.43</v>
      </c>
    </row>
    <row r="16" spans="1:9" ht="16.75" customHeight="1">
      <c r="A16" s="6" t="s">
        <v>13</v>
      </c>
      <c r="B16" s="7" t="s">
        <v>14</v>
      </c>
      <c r="C16" s="1"/>
      <c r="D16" s="10">
        <v>3.5</v>
      </c>
      <c r="E16" s="11">
        <v>3.78</v>
      </c>
    </row>
    <row r="17" spans="1:9" ht="22.75" customHeight="1">
      <c r="A17" s="73" t="s">
        <v>15</v>
      </c>
      <c r="B17" s="73"/>
      <c r="C17" s="14"/>
      <c r="D17" s="8">
        <v>0.27</v>
      </c>
      <c r="E17" s="9">
        <v>0.28999999999999998</v>
      </c>
    </row>
    <row r="18" spans="1:9" ht="22.75" customHeight="1">
      <c r="A18" s="74" t="s">
        <v>16</v>
      </c>
      <c r="B18" s="74"/>
      <c r="C18" s="14"/>
      <c r="D18" s="10">
        <v>0.41</v>
      </c>
      <c r="E18" s="11">
        <v>0.44</v>
      </c>
    </row>
    <row r="19" spans="1:9" ht="28.5" customHeight="1">
      <c r="A19" s="16" t="s">
        <v>17</v>
      </c>
      <c r="B19" s="17" t="s">
        <v>4</v>
      </c>
      <c r="C19" s="14"/>
      <c r="D19" s="8">
        <v>0.05</v>
      </c>
      <c r="E19" s="9">
        <v>0.05</v>
      </c>
    </row>
    <row r="20" spans="1:9" ht="34.5" customHeight="1">
      <c r="A20" s="12" t="s">
        <v>18</v>
      </c>
      <c r="B20" s="13"/>
      <c r="C20" s="14"/>
      <c r="D20" s="13"/>
      <c r="E20" s="13"/>
    </row>
    <row r="21" spans="1:9" ht="16.75" customHeight="1">
      <c r="A21" s="6" t="s">
        <v>19</v>
      </c>
      <c r="B21" s="7" t="s">
        <v>20</v>
      </c>
      <c r="C21" s="1"/>
      <c r="D21" s="10">
        <v>9.4</v>
      </c>
      <c r="E21" s="11">
        <v>10.16</v>
      </c>
    </row>
    <row r="22" spans="1:9" ht="34.5" customHeight="1">
      <c r="A22" s="12" t="s">
        <v>21</v>
      </c>
      <c r="B22" s="13"/>
      <c r="C22" s="14"/>
      <c r="D22" s="13"/>
      <c r="E22" s="13"/>
    </row>
    <row r="23" spans="1:9" ht="16.75" customHeight="1">
      <c r="A23" s="6" t="s">
        <v>22</v>
      </c>
      <c r="B23" s="7" t="s">
        <v>4</v>
      </c>
      <c r="C23" s="1"/>
      <c r="D23" s="10">
        <v>2.2999999999999998</v>
      </c>
      <c r="E23" s="11">
        <v>2.4900000000000002</v>
      </c>
    </row>
    <row r="24" spans="1:9" ht="16.75" customHeight="1">
      <c r="A24" s="6" t="s">
        <v>23</v>
      </c>
      <c r="B24" s="7" t="s">
        <v>4</v>
      </c>
      <c r="C24" s="1"/>
      <c r="D24" s="18">
        <v>0.6</v>
      </c>
      <c r="E24" s="37">
        <v>0.65</v>
      </c>
    </row>
    <row r="25" spans="1:9" ht="34.5" customHeight="1">
      <c r="A25" s="12" t="s">
        <v>24</v>
      </c>
      <c r="B25" s="13"/>
      <c r="C25" s="14"/>
      <c r="D25" s="13"/>
      <c r="E25" s="13"/>
    </row>
    <row r="26" spans="1:9" ht="16.75" customHeight="1">
      <c r="A26" s="6" t="s">
        <v>3</v>
      </c>
      <c r="B26" s="7" t="s">
        <v>4</v>
      </c>
      <c r="C26" s="1"/>
      <c r="D26" s="10">
        <v>20.53</v>
      </c>
      <c r="E26" s="11">
        <v>22.19</v>
      </c>
      <c r="H26" s="22">
        <f>D8+D14+D17+D18+D19+D23+D24</f>
        <v>20.53</v>
      </c>
      <c r="I26" s="22"/>
    </row>
    <row r="27" spans="1:9" ht="16.75" customHeight="1">
      <c r="A27" s="6" t="s">
        <v>5</v>
      </c>
      <c r="B27" s="7" t="s">
        <v>4</v>
      </c>
      <c r="C27" s="1"/>
      <c r="D27" s="10">
        <v>16.829999999999998</v>
      </c>
      <c r="E27" s="11">
        <v>18.190000000000001</v>
      </c>
    </row>
    <row r="28" spans="1:9" ht="16.75" customHeight="1">
      <c r="A28" s="6" t="s">
        <v>6</v>
      </c>
      <c r="B28" s="7" t="s">
        <v>4</v>
      </c>
      <c r="C28" s="1"/>
      <c r="D28" s="10">
        <v>26.43</v>
      </c>
      <c r="E28" s="11">
        <v>28.57</v>
      </c>
    </row>
    <row r="29" spans="1:9" ht="16.75" customHeight="1">
      <c r="A29" s="6" t="s">
        <v>7</v>
      </c>
      <c r="B29" s="7" t="s">
        <v>4</v>
      </c>
      <c r="C29" s="1"/>
      <c r="D29" s="10">
        <v>20.23</v>
      </c>
      <c r="E29" s="11">
        <v>21.87</v>
      </c>
    </row>
    <row r="30" spans="1:9" ht="16.75" customHeight="1">
      <c r="A30" s="6" t="s">
        <v>9</v>
      </c>
      <c r="B30" s="7" t="s">
        <v>10</v>
      </c>
      <c r="C30" s="1"/>
      <c r="D30" s="10">
        <v>8</v>
      </c>
      <c r="E30" s="11">
        <v>8.65</v>
      </c>
    </row>
    <row r="31" spans="1:9" ht="16.75" customHeight="1">
      <c r="A31" s="6" t="s">
        <v>25</v>
      </c>
      <c r="B31" s="7" t="s">
        <v>20</v>
      </c>
      <c r="C31" s="1"/>
      <c r="D31" s="10">
        <v>9.4</v>
      </c>
      <c r="E31" s="11">
        <v>10.16</v>
      </c>
    </row>
  </sheetData>
  <mergeCells count="4">
    <mergeCell ref="A6:C6"/>
    <mergeCell ref="A17:B17"/>
    <mergeCell ref="A18:B18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0"/>
  <sheetViews>
    <sheetView tabSelected="1" topLeftCell="A2" zoomScale="198" zoomScaleNormal="198" workbookViewId="0">
      <selection activeCell="I10" sqref="I10"/>
    </sheetView>
  </sheetViews>
  <sheetFormatPr baseColWidth="10" defaultColWidth="34.59765625" defaultRowHeight="13"/>
  <cols>
    <col min="1" max="1" width="19.796875" customWidth="1"/>
    <col min="2" max="2" width="17.3984375" customWidth="1"/>
    <col min="3" max="3" width="11" customWidth="1"/>
    <col min="4" max="4" width="9.59765625" customWidth="1"/>
    <col min="5" max="5" width="18.19921875" customWidth="1"/>
    <col min="6" max="6" width="16.19921875" customWidth="1"/>
    <col min="7" max="7" width="8.796875" customWidth="1"/>
    <col min="8" max="8" width="17.796875" customWidth="1"/>
    <col min="9" max="9" width="23.796875" customWidth="1"/>
  </cols>
  <sheetData>
    <row r="1" spans="1:10">
      <c r="A1" s="20" t="s">
        <v>44</v>
      </c>
      <c r="B1" s="20" t="s">
        <v>45</v>
      </c>
    </row>
    <row r="2" spans="1:10">
      <c r="A2" s="28">
        <v>0</v>
      </c>
      <c r="B2" s="25" t="s">
        <v>46</v>
      </c>
      <c r="C2" s="24"/>
    </row>
    <row r="3" spans="1:10">
      <c r="A3" s="29">
        <v>4.1666666666666664E-2</v>
      </c>
      <c r="B3" s="25" t="s">
        <v>46</v>
      </c>
      <c r="C3" s="24"/>
    </row>
    <row r="4" spans="1:10">
      <c r="A4" s="28">
        <v>8.3333333333333301E-2</v>
      </c>
      <c r="B4" s="25" t="s">
        <v>46</v>
      </c>
      <c r="C4" s="24"/>
    </row>
    <row r="5" spans="1:10">
      <c r="A5" s="29">
        <v>0.125</v>
      </c>
      <c r="B5" s="25" t="s">
        <v>46</v>
      </c>
      <c r="C5" s="24"/>
    </row>
    <row r="6" spans="1:10">
      <c r="A6" s="28">
        <v>0.16666666666666699</v>
      </c>
      <c r="B6" s="25" t="s">
        <v>46</v>
      </c>
      <c r="C6" s="24"/>
      <c r="E6" s="30" t="s">
        <v>45</v>
      </c>
    </row>
    <row r="7" spans="1:10">
      <c r="A7" s="29">
        <v>0.20833333333333301</v>
      </c>
      <c r="B7" s="25" t="s">
        <v>46</v>
      </c>
      <c r="C7" s="24"/>
      <c r="H7" s="20" t="s">
        <v>61</v>
      </c>
      <c r="J7" s="20" t="s">
        <v>64</v>
      </c>
    </row>
    <row r="8" spans="1:10" ht="16" customHeight="1">
      <c r="A8" s="28">
        <v>0.25</v>
      </c>
      <c r="B8" s="25" t="s">
        <v>46</v>
      </c>
      <c r="C8" s="24"/>
      <c r="E8" s="31" t="s">
        <v>51</v>
      </c>
      <c r="F8" s="40" t="s">
        <v>62</v>
      </c>
      <c r="G8" s="33"/>
      <c r="H8" s="41">
        <v>0.20530000000000001</v>
      </c>
    </row>
    <row r="9" spans="1:10" ht="16" customHeight="1">
      <c r="A9" s="29">
        <v>0.29166666666666702</v>
      </c>
      <c r="B9" s="26" t="s">
        <v>47</v>
      </c>
      <c r="C9" s="24"/>
      <c r="E9" s="34" t="s">
        <v>52</v>
      </c>
      <c r="F9" s="40" t="s">
        <v>62</v>
      </c>
      <c r="G9" s="33"/>
      <c r="H9" s="41">
        <v>0.16830000000000001</v>
      </c>
    </row>
    <row r="10" spans="1:10" ht="16" customHeight="1">
      <c r="A10" s="28">
        <v>0.33333333333333298</v>
      </c>
      <c r="B10" s="26" t="s">
        <v>47</v>
      </c>
      <c r="C10" s="24"/>
      <c r="E10" s="34" t="s">
        <v>53</v>
      </c>
      <c r="F10" s="40" t="s">
        <v>62</v>
      </c>
      <c r="G10" s="33"/>
      <c r="H10" s="41">
        <v>0.26429999999999998</v>
      </c>
    </row>
    <row r="11" spans="1:10" ht="16" customHeight="1">
      <c r="A11" s="29">
        <v>0.375</v>
      </c>
      <c r="B11" s="26" t="s">
        <v>47</v>
      </c>
      <c r="C11" s="24"/>
      <c r="E11" s="34" t="s">
        <v>54</v>
      </c>
      <c r="F11" s="40" t="s">
        <v>62</v>
      </c>
      <c r="G11" s="33"/>
      <c r="H11" s="41">
        <v>0.20230000000000001</v>
      </c>
    </row>
    <row r="12" spans="1:10" ht="16" customHeight="1">
      <c r="A12" s="28">
        <v>0.41666666666666702</v>
      </c>
      <c r="B12" s="26" t="s">
        <v>47</v>
      </c>
      <c r="C12" s="24"/>
      <c r="E12" s="34" t="s">
        <v>70</v>
      </c>
      <c r="F12" s="40" t="s">
        <v>62</v>
      </c>
      <c r="G12" s="33"/>
      <c r="H12" s="41">
        <v>0.06</v>
      </c>
    </row>
    <row r="13" spans="1:10" ht="16" customHeight="1">
      <c r="A13" s="29">
        <v>0.45833333333333298</v>
      </c>
      <c r="B13" s="26" t="s">
        <v>47</v>
      </c>
      <c r="C13" s="24"/>
      <c r="E13" s="34" t="s">
        <v>55</v>
      </c>
      <c r="F13" s="32" t="s">
        <v>56</v>
      </c>
      <c r="G13" s="33"/>
      <c r="H13" s="41">
        <v>8</v>
      </c>
    </row>
    <row r="14" spans="1:10" ht="16" customHeight="1">
      <c r="A14" s="28">
        <v>0.5</v>
      </c>
      <c r="B14" s="26" t="s">
        <v>47</v>
      </c>
      <c r="C14" s="24"/>
      <c r="E14" s="34" t="s">
        <v>57</v>
      </c>
      <c r="F14" s="32" t="s">
        <v>58</v>
      </c>
      <c r="G14" s="33"/>
      <c r="H14" s="41">
        <v>9.4</v>
      </c>
    </row>
    <row r="15" spans="1:10" ht="14">
      <c r="A15" s="29">
        <v>0.54166666666666696</v>
      </c>
      <c r="B15" s="26" t="s">
        <v>47</v>
      </c>
      <c r="C15" s="24"/>
      <c r="E15" s="38" t="s">
        <v>60</v>
      </c>
      <c r="F15" s="39" t="s">
        <v>62</v>
      </c>
      <c r="G15" s="35"/>
      <c r="H15" s="42">
        <f>('Thal-Pro'!D17+'Thal-Pro'!D18+'Thal-Pro'!D19+'Thal-Pro'!D24)/100</f>
        <v>1.3300000000000001E-2</v>
      </c>
      <c r="I15" s="20" t="s">
        <v>63</v>
      </c>
    </row>
    <row r="16" spans="1:10" ht="14">
      <c r="A16" s="28">
        <v>0.58333333333333304</v>
      </c>
      <c r="B16" s="26" t="s">
        <v>47</v>
      </c>
      <c r="C16" s="24"/>
      <c r="E16" s="35"/>
      <c r="F16" s="35"/>
      <c r="G16" s="35"/>
      <c r="H16" s="35"/>
    </row>
    <row r="17" spans="1:8" ht="14">
      <c r="A17" s="29">
        <v>0.625</v>
      </c>
      <c r="B17" s="26" t="s">
        <v>47</v>
      </c>
      <c r="C17" s="24"/>
      <c r="E17" s="35" t="s">
        <v>48</v>
      </c>
      <c r="F17" s="36">
        <v>45383</v>
      </c>
      <c r="G17" s="35"/>
      <c r="H17" s="36">
        <v>45565.958333333336</v>
      </c>
    </row>
    <row r="18" spans="1:8" ht="14">
      <c r="A18" s="28">
        <v>0.66666666666666696</v>
      </c>
      <c r="B18" s="26" t="s">
        <v>47</v>
      </c>
      <c r="C18" s="24"/>
      <c r="E18" s="35" t="s">
        <v>49</v>
      </c>
      <c r="F18" s="36">
        <v>45292</v>
      </c>
      <c r="G18" s="35"/>
      <c r="H18" s="36">
        <v>45382.958333333336</v>
      </c>
    </row>
    <row r="19" spans="1:8" ht="14">
      <c r="A19" s="29">
        <v>0.70833333333333304</v>
      </c>
      <c r="B19" s="26" t="s">
        <v>47</v>
      </c>
      <c r="C19" s="24"/>
      <c r="E19" s="35" t="s">
        <v>50</v>
      </c>
      <c r="F19" s="36">
        <v>45566</v>
      </c>
      <c r="G19" s="35"/>
      <c r="H19" s="36">
        <v>45657.958333333336</v>
      </c>
    </row>
    <row r="20" spans="1:8">
      <c r="A20" s="28">
        <v>0.75</v>
      </c>
      <c r="B20" s="26" t="s">
        <v>47</v>
      </c>
      <c r="C20" s="24"/>
    </row>
    <row r="21" spans="1:8">
      <c r="A21" s="29">
        <v>0.79166666666666696</v>
      </c>
      <c r="B21" s="25" t="s">
        <v>46</v>
      </c>
      <c r="C21" s="24"/>
    </row>
    <row r="22" spans="1:8">
      <c r="A22" s="28">
        <v>0.83333333333333304</v>
      </c>
      <c r="B22" s="25" t="s">
        <v>46</v>
      </c>
      <c r="C22" s="24"/>
    </row>
    <row r="23" spans="1:8">
      <c r="A23" s="29">
        <v>0.875</v>
      </c>
      <c r="B23" s="25" t="s">
        <v>46</v>
      </c>
      <c r="C23" s="24"/>
    </row>
    <row r="24" spans="1:8">
      <c r="A24" s="28">
        <v>0.91666666666666696</v>
      </c>
      <c r="B24" s="25" t="s">
        <v>46</v>
      </c>
      <c r="C24" s="24"/>
    </row>
    <row r="25" spans="1:8">
      <c r="A25" s="29">
        <v>0.95833333333333304</v>
      </c>
      <c r="B25" s="25" t="s">
        <v>46</v>
      </c>
      <c r="C25" s="24" t="s">
        <v>37</v>
      </c>
    </row>
    <row r="26" spans="1:8">
      <c r="A26" s="28">
        <v>1</v>
      </c>
      <c r="B26" s="25" t="s">
        <v>46</v>
      </c>
      <c r="C26" s="24"/>
    </row>
    <row r="27" spans="1:8">
      <c r="A27" s="29">
        <v>1.0416666666666701</v>
      </c>
      <c r="B27" s="25" t="s">
        <v>46</v>
      </c>
      <c r="C27" s="24"/>
    </row>
    <row r="28" spans="1:8">
      <c r="A28" s="28">
        <v>1.0833333333333299</v>
      </c>
      <c r="B28" s="25" t="s">
        <v>46</v>
      </c>
      <c r="C28" s="24"/>
    </row>
    <row r="29" spans="1:8">
      <c r="A29" s="29">
        <v>1.125</v>
      </c>
      <c r="B29" s="25" t="s">
        <v>46</v>
      </c>
      <c r="C29" s="24"/>
    </row>
    <row r="30" spans="1:8">
      <c r="A30" s="28">
        <v>1.1666666666666701</v>
      </c>
      <c r="B30" s="25" t="s">
        <v>46</v>
      </c>
      <c r="C30" s="24"/>
    </row>
    <row r="31" spans="1:8">
      <c r="A31" s="29">
        <v>1.2083333333333299</v>
      </c>
      <c r="B31" s="25" t="s">
        <v>46</v>
      </c>
      <c r="C31" s="24"/>
    </row>
    <row r="32" spans="1:8">
      <c r="A32" s="28">
        <v>1.25</v>
      </c>
      <c r="B32" s="25" t="s">
        <v>46</v>
      </c>
      <c r="C32" s="24"/>
    </row>
    <row r="33" spans="1:3">
      <c r="A33" s="29">
        <v>1.2916666666666701</v>
      </c>
      <c r="B33" s="26" t="s">
        <v>47</v>
      </c>
      <c r="C33" s="24"/>
    </row>
    <row r="34" spans="1:3">
      <c r="A34" s="28">
        <v>1.3333333333333299</v>
      </c>
      <c r="B34" s="26" t="s">
        <v>47</v>
      </c>
      <c r="C34" s="24"/>
    </row>
    <row r="35" spans="1:3">
      <c r="A35" s="29">
        <v>1.375</v>
      </c>
      <c r="B35" s="26" t="s">
        <v>47</v>
      </c>
      <c r="C35" s="24"/>
    </row>
    <row r="36" spans="1:3">
      <c r="A36" s="28">
        <v>1.4166666666666701</v>
      </c>
      <c r="B36" s="26" t="s">
        <v>47</v>
      </c>
      <c r="C36" s="24"/>
    </row>
    <row r="37" spans="1:3">
      <c r="A37" s="29">
        <v>1.4583333333333299</v>
      </c>
      <c r="B37" s="26" t="s">
        <v>47</v>
      </c>
      <c r="C37" s="24"/>
    </row>
    <row r="38" spans="1:3">
      <c r="A38" s="28">
        <v>1.5</v>
      </c>
      <c r="B38" s="26" t="s">
        <v>47</v>
      </c>
      <c r="C38" s="24"/>
    </row>
    <row r="39" spans="1:3">
      <c r="A39" s="29">
        <v>1.5416666666666701</v>
      </c>
      <c r="B39" s="26" t="s">
        <v>47</v>
      </c>
      <c r="C39" s="24"/>
    </row>
    <row r="40" spans="1:3">
      <c r="A40" s="28">
        <v>1.5833333333333299</v>
      </c>
      <c r="B40" s="26" t="s">
        <v>47</v>
      </c>
      <c r="C40" s="24"/>
    </row>
    <row r="41" spans="1:3">
      <c r="A41" s="29">
        <v>1.625</v>
      </c>
      <c r="B41" s="26" t="s">
        <v>47</v>
      </c>
      <c r="C41" s="24"/>
    </row>
    <row r="42" spans="1:3">
      <c r="A42" s="28">
        <v>1.6666666666666701</v>
      </c>
      <c r="B42" s="26" t="s">
        <v>47</v>
      </c>
      <c r="C42" s="24"/>
    </row>
    <row r="43" spans="1:3">
      <c r="A43" s="29">
        <v>1.7083333333333299</v>
      </c>
      <c r="B43" s="26" t="s">
        <v>47</v>
      </c>
      <c r="C43" s="24"/>
    </row>
    <row r="44" spans="1:3">
      <c r="A44" s="28">
        <v>1.75</v>
      </c>
      <c r="B44" s="26" t="s">
        <v>47</v>
      </c>
      <c r="C44" s="24"/>
    </row>
    <row r="45" spans="1:3">
      <c r="A45" s="29">
        <v>1.7916666666666701</v>
      </c>
      <c r="B45" s="25" t="s">
        <v>46</v>
      </c>
      <c r="C45" s="24"/>
    </row>
    <row r="46" spans="1:3">
      <c r="A46" s="28">
        <v>1.8333333333333299</v>
      </c>
      <c r="B46" s="25" t="s">
        <v>46</v>
      </c>
      <c r="C46" s="24"/>
    </row>
    <row r="47" spans="1:3">
      <c r="A47" s="29">
        <v>1.875</v>
      </c>
      <c r="B47" s="25" t="s">
        <v>46</v>
      </c>
      <c r="C47" s="24"/>
    </row>
    <row r="48" spans="1:3">
      <c r="A48" s="28">
        <v>1.9166666666666701</v>
      </c>
      <c r="B48" s="25" t="s">
        <v>46</v>
      </c>
      <c r="C48" s="24"/>
    </row>
    <row r="49" spans="1:3">
      <c r="A49" s="29">
        <v>1.9583333333333299</v>
      </c>
      <c r="B49" s="25" t="s">
        <v>46</v>
      </c>
      <c r="C49" s="24" t="s">
        <v>38</v>
      </c>
    </row>
    <row r="50" spans="1:3">
      <c r="A50" s="28">
        <v>2</v>
      </c>
      <c r="B50" s="25" t="s">
        <v>46</v>
      </c>
      <c r="C50" s="24"/>
    </row>
    <row r="51" spans="1:3">
      <c r="A51" s="29">
        <v>2.0416666666666701</v>
      </c>
      <c r="B51" s="25" t="s">
        <v>46</v>
      </c>
      <c r="C51" s="24"/>
    </row>
    <row r="52" spans="1:3">
      <c r="A52" s="28">
        <v>2.0833333333333299</v>
      </c>
      <c r="B52" s="25" t="s">
        <v>46</v>
      </c>
      <c r="C52" s="24"/>
    </row>
    <row r="53" spans="1:3">
      <c r="A53" s="29">
        <v>2.125</v>
      </c>
      <c r="B53" s="25" t="s">
        <v>46</v>
      </c>
      <c r="C53" s="24"/>
    </row>
    <row r="54" spans="1:3">
      <c r="A54" s="28">
        <v>2.1666666666666701</v>
      </c>
      <c r="B54" s="25" t="s">
        <v>46</v>
      </c>
      <c r="C54" s="24"/>
    </row>
    <row r="55" spans="1:3">
      <c r="A55" s="29">
        <v>2.2083333333333299</v>
      </c>
      <c r="B55" s="25" t="s">
        <v>46</v>
      </c>
      <c r="C55" s="24"/>
    </row>
    <row r="56" spans="1:3">
      <c r="A56" s="28">
        <v>2.25</v>
      </c>
      <c r="B56" s="25" t="s">
        <v>46</v>
      </c>
      <c r="C56" s="24"/>
    </row>
    <row r="57" spans="1:3">
      <c r="A57" s="29">
        <v>2.2916666666666701</v>
      </c>
      <c r="B57" s="26" t="s">
        <v>47</v>
      </c>
      <c r="C57" s="24"/>
    </row>
    <row r="58" spans="1:3">
      <c r="A58" s="28">
        <v>2.3333333333333299</v>
      </c>
      <c r="B58" s="26" t="s">
        <v>47</v>
      </c>
      <c r="C58" s="24"/>
    </row>
    <row r="59" spans="1:3">
      <c r="A59" s="29">
        <v>2.375</v>
      </c>
      <c r="B59" s="26" t="s">
        <v>47</v>
      </c>
      <c r="C59" s="24"/>
    </row>
    <row r="60" spans="1:3">
      <c r="A60" s="28">
        <v>2.4166666666666701</v>
      </c>
      <c r="B60" s="26" t="s">
        <v>47</v>
      </c>
      <c r="C60" s="24"/>
    </row>
    <row r="61" spans="1:3">
      <c r="A61" s="29">
        <v>2.4583333333333299</v>
      </c>
      <c r="B61" s="26" t="s">
        <v>47</v>
      </c>
      <c r="C61" s="24"/>
    </row>
    <row r="62" spans="1:3">
      <c r="A62" s="28">
        <v>2.5</v>
      </c>
      <c r="B62" s="26" t="s">
        <v>47</v>
      </c>
      <c r="C62" s="24"/>
    </row>
    <row r="63" spans="1:3">
      <c r="A63" s="29">
        <v>2.5416666666666701</v>
      </c>
      <c r="B63" s="26" t="s">
        <v>47</v>
      </c>
      <c r="C63" s="24"/>
    </row>
    <row r="64" spans="1:3">
      <c r="A64" s="28">
        <v>2.5833333333333299</v>
      </c>
      <c r="B64" s="26" t="s">
        <v>47</v>
      </c>
      <c r="C64" s="24"/>
    </row>
    <row r="65" spans="1:3">
      <c r="A65" s="29">
        <v>2.625</v>
      </c>
      <c r="B65" s="26" t="s">
        <v>47</v>
      </c>
      <c r="C65" s="24"/>
    </row>
    <row r="66" spans="1:3">
      <c r="A66" s="28">
        <v>2.6666666666666701</v>
      </c>
      <c r="B66" s="26" t="s">
        <v>47</v>
      </c>
      <c r="C66" s="24"/>
    </row>
    <row r="67" spans="1:3">
      <c r="A67" s="29">
        <v>2.7083333333333299</v>
      </c>
      <c r="B67" s="26" t="s">
        <v>47</v>
      </c>
      <c r="C67" s="24"/>
    </row>
    <row r="68" spans="1:3">
      <c r="A68" s="28">
        <v>2.75</v>
      </c>
      <c r="B68" s="26" t="s">
        <v>47</v>
      </c>
      <c r="C68" s="24"/>
    </row>
    <row r="69" spans="1:3">
      <c r="A69" s="29">
        <v>2.7916666666666701</v>
      </c>
      <c r="B69" s="25" t="s">
        <v>46</v>
      </c>
      <c r="C69" s="24"/>
    </row>
    <row r="70" spans="1:3">
      <c r="A70" s="28">
        <v>2.8333333333333299</v>
      </c>
      <c r="B70" s="25" t="s">
        <v>46</v>
      </c>
      <c r="C70" s="24"/>
    </row>
    <row r="71" spans="1:3">
      <c r="A71" s="29">
        <v>2.875</v>
      </c>
      <c r="B71" s="25" t="s">
        <v>46</v>
      </c>
      <c r="C71" s="24"/>
    </row>
    <row r="72" spans="1:3">
      <c r="A72" s="28">
        <v>2.9166666666666701</v>
      </c>
      <c r="B72" s="25" t="s">
        <v>46</v>
      </c>
      <c r="C72" s="24"/>
    </row>
    <row r="73" spans="1:3">
      <c r="A73" s="29">
        <v>2.9583333333333299</v>
      </c>
      <c r="B73" s="25" t="s">
        <v>46</v>
      </c>
      <c r="C73" s="24" t="s">
        <v>39</v>
      </c>
    </row>
    <row r="74" spans="1:3">
      <c r="A74" s="28">
        <v>3</v>
      </c>
      <c r="B74" s="25" t="s">
        <v>46</v>
      </c>
      <c r="C74" s="24"/>
    </row>
    <row r="75" spans="1:3">
      <c r="A75" s="29">
        <v>3.0416666666666701</v>
      </c>
      <c r="B75" s="25" t="s">
        <v>46</v>
      </c>
      <c r="C75" s="24"/>
    </row>
    <row r="76" spans="1:3" ht="13" customHeight="1">
      <c r="A76" s="28">
        <v>3.0833333333333299</v>
      </c>
      <c r="B76" s="25" t="s">
        <v>46</v>
      </c>
      <c r="C76" s="24"/>
    </row>
    <row r="77" spans="1:3">
      <c r="A77" s="29">
        <v>3.125</v>
      </c>
      <c r="B77" s="25" t="s">
        <v>46</v>
      </c>
      <c r="C77" s="24"/>
    </row>
    <row r="78" spans="1:3">
      <c r="A78" s="28">
        <v>3.1666666666666701</v>
      </c>
      <c r="B78" s="25" t="s">
        <v>46</v>
      </c>
      <c r="C78" s="24"/>
    </row>
    <row r="79" spans="1:3">
      <c r="A79" s="29">
        <v>3.2083333333333299</v>
      </c>
      <c r="B79" s="25" t="s">
        <v>46</v>
      </c>
      <c r="C79" s="24"/>
    </row>
    <row r="80" spans="1:3">
      <c r="A80" s="28">
        <v>3.25</v>
      </c>
      <c r="B80" s="25" t="s">
        <v>46</v>
      </c>
      <c r="C80" s="24"/>
    </row>
    <row r="81" spans="1:3">
      <c r="A81" s="29">
        <v>3.2916666666666701</v>
      </c>
      <c r="B81" s="26" t="s">
        <v>47</v>
      </c>
      <c r="C81" s="24"/>
    </row>
    <row r="82" spans="1:3">
      <c r="A82" s="28">
        <v>3.3333333333333299</v>
      </c>
      <c r="B82" s="26" t="s">
        <v>47</v>
      </c>
      <c r="C82" s="24"/>
    </row>
    <row r="83" spans="1:3">
      <c r="A83" s="29">
        <v>3.375</v>
      </c>
      <c r="B83" s="26" t="s">
        <v>47</v>
      </c>
      <c r="C83" s="24"/>
    </row>
    <row r="84" spans="1:3">
      <c r="A84" s="28">
        <v>3.4166666666666701</v>
      </c>
      <c r="B84" s="26" t="s">
        <v>47</v>
      </c>
      <c r="C84" s="24"/>
    </row>
    <row r="85" spans="1:3">
      <c r="A85" s="29">
        <v>3.4583333333333299</v>
      </c>
      <c r="B85" s="26" t="s">
        <v>47</v>
      </c>
      <c r="C85" s="24"/>
    </row>
    <row r="86" spans="1:3">
      <c r="A86" s="28">
        <v>3.5</v>
      </c>
      <c r="B86" s="26" t="s">
        <v>47</v>
      </c>
      <c r="C86" s="24"/>
    </row>
    <row r="87" spans="1:3">
      <c r="A87" s="29">
        <v>3.5416666666666701</v>
      </c>
      <c r="B87" s="26" t="s">
        <v>47</v>
      </c>
      <c r="C87" s="24"/>
    </row>
    <row r="88" spans="1:3">
      <c r="A88" s="28">
        <v>3.5833333333333299</v>
      </c>
      <c r="B88" s="26" t="s">
        <v>47</v>
      </c>
      <c r="C88" s="24"/>
    </row>
    <row r="89" spans="1:3">
      <c r="A89" s="29">
        <v>3.625</v>
      </c>
      <c r="B89" s="26" t="s">
        <v>47</v>
      </c>
      <c r="C89" s="24"/>
    </row>
    <row r="90" spans="1:3">
      <c r="A90" s="28">
        <v>3.6666666666666701</v>
      </c>
      <c r="B90" s="26" t="s">
        <v>47</v>
      </c>
      <c r="C90" s="24"/>
    </row>
    <row r="91" spans="1:3">
      <c r="A91" s="29">
        <v>3.7083333333333299</v>
      </c>
      <c r="B91" s="26" t="s">
        <v>47</v>
      </c>
      <c r="C91" s="24"/>
    </row>
    <row r="92" spans="1:3">
      <c r="A92" s="28">
        <v>3.75</v>
      </c>
      <c r="B92" s="26" t="s">
        <v>47</v>
      </c>
      <c r="C92" s="24"/>
    </row>
    <row r="93" spans="1:3">
      <c r="A93" s="29">
        <v>3.7916666666666701</v>
      </c>
      <c r="B93" s="25" t="s">
        <v>46</v>
      </c>
      <c r="C93" s="24"/>
    </row>
    <row r="94" spans="1:3">
      <c r="A94" s="28">
        <v>3.8333333333333299</v>
      </c>
      <c r="B94" s="25" t="s">
        <v>46</v>
      </c>
      <c r="C94" s="24"/>
    </row>
    <row r="95" spans="1:3">
      <c r="A95" s="29">
        <v>3.875</v>
      </c>
      <c r="B95" s="25" t="s">
        <v>46</v>
      </c>
      <c r="C95" s="24"/>
    </row>
    <row r="96" spans="1:3">
      <c r="A96" s="28">
        <v>3.9166666666666701</v>
      </c>
      <c r="B96" s="25" t="s">
        <v>46</v>
      </c>
      <c r="C96" s="24"/>
    </row>
    <row r="97" spans="1:3">
      <c r="A97" s="29">
        <v>3.9583333333333299</v>
      </c>
      <c r="B97" s="25" t="s">
        <v>46</v>
      </c>
      <c r="C97" s="24" t="s">
        <v>40</v>
      </c>
    </row>
    <row r="98" spans="1:3">
      <c r="A98" s="28">
        <v>4</v>
      </c>
      <c r="B98" s="25" t="s">
        <v>46</v>
      </c>
      <c r="C98" s="24"/>
    </row>
    <row r="99" spans="1:3">
      <c r="A99" s="29">
        <v>4.0416666666666696</v>
      </c>
      <c r="B99" s="25" t="s">
        <v>46</v>
      </c>
      <c r="C99" s="24"/>
    </row>
    <row r="100" spans="1:3">
      <c r="A100" s="28">
        <v>4.0833333333333304</v>
      </c>
      <c r="B100" s="25" t="s">
        <v>46</v>
      </c>
      <c r="C100" s="24"/>
    </row>
    <row r="101" spans="1:3">
      <c r="A101" s="29">
        <v>4.125</v>
      </c>
      <c r="B101" s="25" t="s">
        <v>46</v>
      </c>
      <c r="C101" s="24"/>
    </row>
    <row r="102" spans="1:3">
      <c r="A102" s="28">
        <v>4.1666666666666696</v>
      </c>
      <c r="B102" s="25" t="s">
        <v>46</v>
      </c>
      <c r="C102" s="24"/>
    </row>
    <row r="103" spans="1:3">
      <c r="A103" s="29">
        <v>4.2083333333333304</v>
      </c>
      <c r="B103" s="25" t="s">
        <v>46</v>
      </c>
      <c r="C103" s="24"/>
    </row>
    <row r="104" spans="1:3">
      <c r="A104" s="28">
        <v>4.25</v>
      </c>
      <c r="B104" s="25" t="s">
        <v>46</v>
      </c>
      <c r="C104" s="24"/>
    </row>
    <row r="105" spans="1:3">
      <c r="A105" s="29">
        <v>4.2916666666666696</v>
      </c>
      <c r="B105" s="26" t="s">
        <v>47</v>
      </c>
      <c r="C105" s="24"/>
    </row>
    <row r="106" spans="1:3">
      <c r="A106" s="28">
        <v>4.3333333333333304</v>
      </c>
      <c r="B106" s="26" t="s">
        <v>47</v>
      </c>
      <c r="C106" s="24"/>
    </row>
    <row r="107" spans="1:3">
      <c r="A107" s="29">
        <v>4.375</v>
      </c>
      <c r="B107" s="26" t="s">
        <v>47</v>
      </c>
      <c r="C107" s="24"/>
    </row>
    <row r="108" spans="1:3">
      <c r="A108" s="28">
        <v>4.4166666666666696</v>
      </c>
      <c r="B108" s="26" t="s">
        <v>47</v>
      </c>
      <c r="C108" s="24"/>
    </row>
    <row r="109" spans="1:3">
      <c r="A109" s="29">
        <v>4.4583333333333304</v>
      </c>
      <c r="B109" s="26" t="s">
        <v>47</v>
      </c>
      <c r="C109" s="24"/>
    </row>
    <row r="110" spans="1:3">
      <c r="A110" s="28">
        <v>4.5</v>
      </c>
      <c r="B110" s="26" t="s">
        <v>47</v>
      </c>
      <c r="C110" s="24"/>
    </row>
    <row r="111" spans="1:3">
      <c r="A111" s="29">
        <v>4.5416666666666696</v>
      </c>
      <c r="B111" s="26" t="s">
        <v>47</v>
      </c>
      <c r="C111" s="24"/>
    </row>
    <row r="112" spans="1:3">
      <c r="A112" s="28">
        <v>4.5833333333333304</v>
      </c>
      <c r="B112" s="26" t="s">
        <v>47</v>
      </c>
      <c r="C112" s="24"/>
    </row>
    <row r="113" spans="1:3">
      <c r="A113" s="29">
        <v>4.625</v>
      </c>
      <c r="B113" s="26" t="s">
        <v>47</v>
      </c>
      <c r="C113" s="24"/>
    </row>
    <row r="114" spans="1:3">
      <c r="A114" s="28">
        <v>4.6666666666666696</v>
      </c>
      <c r="B114" s="26" t="s">
        <v>47</v>
      </c>
      <c r="C114" s="24"/>
    </row>
    <row r="115" spans="1:3">
      <c r="A115" s="29">
        <v>4.7083333333333304</v>
      </c>
      <c r="B115" s="26" t="s">
        <v>47</v>
      </c>
      <c r="C115" s="24"/>
    </row>
    <row r="116" spans="1:3">
      <c r="A116" s="28">
        <v>4.75</v>
      </c>
      <c r="B116" s="26" t="s">
        <v>47</v>
      </c>
      <c r="C116" s="24"/>
    </row>
    <row r="117" spans="1:3">
      <c r="A117" s="29">
        <v>4.7916666666666696</v>
      </c>
      <c r="B117" s="25" t="s">
        <v>46</v>
      </c>
      <c r="C117" s="24"/>
    </row>
    <row r="118" spans="1:3">
      <c r="A118" s="28">
        <v>4.8333333333333304</v>
      </c>
      <c r="B118" s="25" t="s">
        <v>46</v>
      </c>
      <c r="C118" s="24"/>
    </row>
    <row r="119" spans="1:3">
      <c r="A119" s="29">
        <v>4.875</v>
      </c>
      <c r="B119" s="25" t="s">
        <v>46</v>
      </c>
      <c r="C119" s="24"/>
    </row>
    <row r="120" spans="1:3">
      <c r="A120" s="28">
        <v>4.9166666666666696</v>
      </c>
      <c r="B120" s="25" t="s">
        <v>46</v>
      </c>
      <c r="C120" s="24"/>
    </row>
    <row r="121" spans="1:3">
      <c r="A121" s="29">
        <v>4.9583333333333304</v>
      </c>
      <c r="B121" s="25" t="s">
        <v>46</v>
      </c>
      <c r="C121" s="24" t="s">
        <v>41</v>
      </c>
    </row>
    <row r="122" spans="1:3">
      <c r="A122" s="28">
        <v>5</v>
      </c>
      <c r="B122" s="25" t="s">
        <v>46</v>
      </c>
      <c r="C122" s="24"/>
    </row>
    <row r="123" spans="1:3">
      <c r="A123" s="29">
        <v>5.0416666666666696</v>
      </c>
      <c r="B123" s="25" t="s">
        <v>46</v>
      </c>
      <c r="C123" s="24"/>
    </row>
    <row r="124" spans="1:3">
      <c r="A124" s="28">
        <v>5.0833333333333304</v>
      </c>
      <c r="B124" s="25" t="s">
        <v>46</v>
      </c>
      <c r="C124" s="24"/>
    </row>
    <row r="125" spans="1:3">
      <c r="A125" s="29">
        <v>5.125</v>
      </c>
      <c r="B125" s="25" t="s">
        <v>46</v>
      </c>
      <c r="C125" s="24"/>
    </row>
    <row r="126" spans="1:3">
      <c r="A126" s="28">
        <v>5.1666666666666696</v>
      </c>
      <c r="B126" s="25" t="s">
        <v>46</v>
      </c>
      <c r="C126" s="24"/>
    </row>
    <row r="127" spans="1:3">
      <c r="A127" s="29">
        <v>5.2083333333333304</v>
      </c>
      <c r="B127" s="25" t="s">
        <v>46</v>
      </c>
      <c r="C127" s="24"/>
    </row>
    <row r="128" spans="1:3">
      <c r="A128" s="28">
        <v>5.25</v>
      </c>
      <c r="B128" s="25" t="s">
        <v>46</v>
      </c>
      <c r="C128" s="24"/>
    </row>
    <row r="129" spans="1:3">
      <c r="A129" s="29">
        <v>5.2916666666666696</v>
      </c>
      <c r="B129" s="25" t="s">
        <v>46</v>
      </c>
      <c r="C129" s="24"/>
    </row>
    <row r="130" spans="1:3">
      <c r="A130" s="28">
        <v>5.3333333333333304</v>
      </c>
      <c r="B130" s="25" t="s">
        <v>46</v>
      </c>
      <c r="C130" s="24"/>
    </row>
    <row r="131" spans="1:3">
      <c r="A131" s="28">
        <v>5.3750000000000098</v>
      </c>
      <c r="B131" s="25" t="s">
        <v>46</v>
      </c>
      <c r="C131" s="24"/>
    </row>
    <row r="132" spans="1:3">
      <c r="A132" s="29">
        <v>5.4166666666666803</v>
      </c>
      <c r="B132" s="25" t="s">
        <v>46</v>
      </c>
      <c r="C132" s="24"/>
    </row>
    <row r="133" spans="1:3">
      <c r="A133" s="28">
        <v>5.4583333333333499</v>
      </c>
      <c r="B133" s="25" t="s">
        <v>46</v>
      </c>
      <c r="C133" s="24"/>
    </row>
    <row r="134" spans="1:3">
      <c r="A134" s="28">
        <v>5.5000000000000204</v>
      </c>
      <c r="B134" s="25" t="s">
        <v>46</v>
      </c>
      <c r="C134" s="24"/>
    </row>
    <row r="135" spans="1:3">
      <c r="A135" s="29">
        <v>5.5416666666666901</v>
      </c>
      <c r="B135" s="25" t="s">
        <v>46</v>
      </c>
      <c r="C135" s="24"/>
    </row>
    <row r="136" spans="1:3">
      <c r="A136" s="28">
        <v>5.5833333333333597</v>
      </c>
      <c r="B136" s="25" t="s">
        <v>46</v>
      </c>
      <c r="C136" s="24"/>
    </row>
    <row r="137" spans="1:3">
      <c r="A137" s="28">
        <v>5.6250000000000302</v>
      </c>
      <c r="B137" s="25" t="s">
        <v>46</v>
      </c>
      <c r="C137" s="24"/>
    </row>
    <row r="138" spans="1:3">
      <c r="A138" s="29">
        <v>5.6666666666666998</v>
      </c>
      <c r="B138" s="25" t="s">
        <v>46</v>
      </c>
      <c r="C138" s="24"/>
    </row>
    <row r="139" spans="1:3">
      <c r="A139" s="28">
        <v>5.7083333333333703</v>
      </c>
      <c r="B139" s="25" t="s">
        <v>46</v>
      </c>
      <c r="C139" s="24"/>
    </row>
    <row r="140" spans="1:3">
      <c r="A140" s="28">
        <v>5.75000000000004</v>
      </c>
      <c r="B140" s="25" t="s">
        <v>46</v>
      </c>
      <c r="C140" s="24"/>
    </row>
    <row r="141" spans="1:3">
      <c r="A141" s="29">
        <v>5.7916666666667096</v>
      </c>
      <c r="B141" s="25" t="s">
        <v>46</v>
      </c>
      <c r="C141" s="24"/>
    </row>
    <row r="142" spans="1:3">
      <c r="A142" s="28">
        <v>5.8333333333333703</v>
      </c>
      <c r="B142" s="25" t="s">
        <v>46</v>
      </c>
      <c r="C142" s="24"/>
    </row>
    <row r="143" spans="1:3">
      <c r="A143" s="29">
        <v>5.87500000000004</v>
      </c>
      <c r="B143" s="25" t="s">
        <v>46</v>
      </c>
      <c r="C143" s="24"/>
    </row>
    <row r="144" spans="1:3">
      <c r="A144" s="28">
        <v>5.9166666666667096</v>
      </c>
      <c r="B144" s="25" t="s">
        <v>46</v>
      </c>
      <c r="C144" s="24"/>
    </row>
    <row r="145" spans="1:3">
      <c r="A145" s="28">
        <v>5.9583333333333801</v>
      </c>
      <c r="B145" s="25" t="s">
        <v>46</v>
      </c>
      <c r="C145" s="24"/>
    </row>
    <row r="146" spans="1:3">
      <c r="A146" s="29">
        <v>6.0000000000000497</v>
      </c>
      <c r="B146" s="25" t="s">
        <v>46</v>
      </c>
      <c r="C146" s="24" t="s">
        <v>42</v>
      </c>
    </row>
    <row r="147" spans="1:3">
      <c r="A147" s="28">
        <v>6.0416666666667203</v>
      </c>
      <c r="B147" s="25" t="s">
        <v>46</v>
      </c>
      <c r="C147" s="24"/>
    </row>
    <row r="148" spans="1:3">
      <c r="A148" s="28">
        <v>6.0833333333333899</v>
      </c>
      <c r="B148" s="25" t="s">
        <v>46</v>
      </c>
      <c r="C148" s="24"/>
    </row>
    <row r="149" spans="1:3">
      <c r="A149" s="29">
        <v>6.1250000000000604</v>
      </c>
      <c r="B149" s="25" t="s">
        <v>46</v>
      </c>
      <c r="C149" s="24"/>
    </row>
    <row r="150" spans="1:3">
      <c r="A150" s="28">
        <v>6.16666666666673</v>
      </c>
      <c r="B150" s="25" t="s">
        <v>46</v>
      </c>
      <c r="C150" s="24"/>
    </row>
    <row r="151" spans="1:3">
      <c r="A151" s="28">
        <v>6.2083333333333997</v>
      </c>
      <c r="B151" s="25" t="s">
        <v>46</v>
      </c>
      <c r="C151" s="24"/>
    </row>
    <row r="152" spans="1:3">
      <c r="A152" s="29">
        <v>6.2500000000000702</v>
      </c>
      <c r="B152" s="25" t="s">
        <v>46</v>
      </c>
      <c r="C152" s="24"/>
    </row>
    <row r="153" spans="1:3">
      <c r="A153" s="28">
        <v>6.2916666666667398</v>
      </c>
      <c r="B153" s="25" t="s">
        <v>46</v>
      </c>
      <c r="C153" s="24"/>
    </row>
    <row r="154" spans="1:3">
      <c r="A154" s="28">
        <v>6.3333333333334103</v>
      </c>
      <c r="B154" s="25" t="s">
        <v>46</v>
      </c>
      <c r="C154" s="24"/>
    </row>
    <row r="155" spans="1:3">
      <c r="A155" s="28">
        <v>6.3750000000000799</v>
      </c>
      <c r="B155" s="25" t="s">
        <v>46</v>
      </c>
      <c r="C155" s="24"/>
    </row>
    <row r="156" spans="1:3">
      <c r="A156" s="29">
        <v>6.4166666666667496</v>
      </c>
      <c r="B156" s="25" t="s">
        <v>46</v>
      </c>
      <c r="C156" s="24"/>
    </row>
    <row r="157" spans="1:3">
      <c r="A157" s="28">
        <v>6.4583333333334201</v>
      </c>
      <c r="B157" s="25" t="s">
        <v>46</v>
      </c>
      <c r="C157" s="24"/>
    </row>
    <row r="158" spans="1:3">
      <c r="A158" s="28">
        <v>6.5000000000000897</v>
      </c>
      <c r="B158" s="25" t="s">
        <v>46</v>
      </c>
      <c r="C158" s="24"/>
    </row>
    <row r="159" spans="1:3">
      <c r="A159" s="29">
        <v>6.5416666666667602</v>
      </c>
      <c r="B159" s="25" t="s">
        <v>46</v>
      </c>
      <c r="C159" s="24"/>
    </row>
    <row r="160" spans="1:3">
      <c r="A160" s="28">
        <v>6.5833333333334298</v>
      </c>
      <c r="B160" s="25" t="s">
        <v>46</v>
      </c>
      <c r="C160" s="24"/>
    </row>
    <row r="161" spans="1:3">
      <c r="A161" s="28">
        <v>6.6250000000001004</v>
      </c>
      <c r="B161" s="25" t="s">
        <v>46</v>
      </c>
      <c r="C161" s="24"/>
    </row>
    <row r="162" spans="1:3">
      <c r="A162" s="29">
        <v>6.66666666666677</v>
      </c>
      <c r="B162" s="25" t="s">
        <v>46</v>
      </c>
      <c r="C162" s="24"/>
    </row>
    <row r="163" spans="1:3">
      <c r="A163" s="28">
        <v>6.7083333333334396</v>
      </c>
      <c r="B163" s="25" t="s">
        <v>46</v>
      </c>
      <c r="C163" s="24"/>
    </row>
    <row r="164" spans="1:3">
      <c r="A164" s="28">
        <v>6.7500000000001101</v>
      </c>
      <c r="B164" s="25" t="s">
        <v>46</v>
      </c>
      <c r="C164" s="24"/>
    </row>
    <row r="165" spans="1:3">
      <c r="A165" s="29">
        <v>6.7916666666667798</v>
      </c>
      <c r="B165" s="25" t="s">
        <v>46</v>
      </c>
      <c r="C165" s="24"/>
    </row>
    <row r="166" spans="1:3">
      <c r="A166" s="28">
        <v>6.8333333333334503</v>
      </c>
      <c r="B166" s="25" t="s">
        <v>46</v>
      </c>
      <c r="C166" s="24"/>
    </row>
    <row r="167" spans="1:3">
      <c r="A167" s="28">
        <v>6.8750000000001199</v>
      </c>
      <c r="B167" s="25" t="s">
        <v>46</v>
      </c>
      <c r="C167" s="24"/>
    </row>
    <row r="168" spans="1:3">
      <c r="A168" s="29">
        <v>6.9166666666667904</v>
      </c>
      <c r="B168" s="25" t="s">
        <v>46</v>
      </c>
      <c r="C168" s="24"/>
    </row>
    <row r="169" spans="1:3">
      <c r="A169" s="28">
        <v>6.9583333333334503</v>
      </c>
      <c r="B169" s="25" t="s">
        <v>46</v>
      </c>
      <c r="C169" s="24" t="s">
        <v>43</v>
      </c>
    </row>
    <row r="170" spans="1:3">
      <c r="A170" s="27"/>
    </row>
  </sheetData>
  <phoneticPr fontId="14" type="noConversion"/>
  <dataValidations count="1">
    <dataValidation allowBlank="1" showInputMessage="1" showErrorMessage="1" promptTitle="Haushalt 1" sqref="B2:B169" xr:uid="{0EC590D5-F5DD-A64D-AA7C-C332422CDB0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topLeftCell="A4" zoomScale="159" zoomScaleNormal="159" workbookViewId="0">
      <selection activeCell="L16" sqref="L16"/>
    </sheetView>
  </sheetViews>
  <sheetFormatPr baseColWidth="10" defaultColWidth="9" defaultRowHeight="13"/>
  <cols>
    <col min="1" max="1" width="17.796875" customWidth="1"/>
    <col min="3" max="3" width="19.3984375" customWidth="1"/>
    <col min="4" max="4" width="23.19921875" customWidth="1"/>
    <col min="5" max="5" width="9.19921875" customWidth="1"/>
    <col min="6" max="6" width="15.19921875" customWidth="1"/>
    <col min="7" max="7" width="3.796875" customWidth="1"/>
    <col min="8" max="8" width="16" customWidth="1"/>
    <col min="9" max="9" width="15.59765625" customWidth="1"/>
    <col min="11" max="11" width="15" customWidth="1"/>
    <col min="12" max="12" width="13" customWidth="1"/>
  </cols>
  <sheetData>
    <row r="1" spans="1:13" ht="9.75" customHeight="1">
      <c r="A1" s="19" t="s">
        <v>26</v>
      </c>
    </row>
    <row r="2" spans="1:13" ht="33" customHeight="1"/>
    <row r="7" spans="1:13" ht="14" thickBot="1"/>
    <row r="8" spans="1:13" ht="16">
      <c r="C8" s="65" t="s">
        <v>67</v>
      </c>
      <c r="D8" s="43"/>
      <c r="E8" s="43"/>
      <c r="F8" s="43"/>
      <c r="G8" s="43"/>
      <c r="H8" s="55"/>
      <c r="I8" s="44"/>
      <c r="K8" s="68" t="s">
        <v>65</v>
      </c>
      <c r="L8" s="66"/>
      <c r="M8" s="44"/>
    </row>
    <row r="9" spans="1:13" ht="14">
      <c r="C9" s="45"/>
      <c r="I9" s="46"/>
      <c r="K9" s="50"/>
      <c r="L9" s="38"/>
      <c r="M9" s="46"/>
    </row>
    <row r="10" spans="1:13" ht="14">
      <c r="C10" s="47"/>
      <c r="F10" s="20"/>
      <c r="I10" s="46"/>
      <c r="K10" s="50" t="s">
        <v>68</v>
      </c>
      <c r="L10" s="38"/>
      <c r="M10" s="46"/>
    </row>
    <row r="11" spans="1:13" ht="14">
      <c r="C11" s="45" t="s">
        <v>45</v>
      </c>
      <c r="I11" s="46"/>
      <c r="K11" s="50"/>
      <c r="L11" s="38"/>
      <c r="M11" s="46"/>
    </row>
    <row r="12" spans="1:13" ht="14">
      <c r="C12" s="47"/>
      <c r="F12" s="62" t="s">
        <v>61</v>
      </c>
      <c r="G12" s="35"/>
      <c r="H12" s="38" t="s">
        <v>66</v>
      </c>
      <c r="I12" s="39" t="s">
        <v>61</v>
      </c>
      <c r="K12" s="50" t="s">
        <v>61</v>
      </c>
      <c r="L12" s="38"/>
      <c r="M12" s="46"/>
    </row>
    <row r="13" spans="1:13" ht="16" customHeight="1">
      <c r="C13" s="48" t="s">
        <v>51</v>
      </c>
      <c r="D13" s="40" t="s">
        <v>62</v>
      </c>
      <c r="E13" s="33"/>
      <c r="F13" s="69">
        <v>0.20530000000000001</v>
      </c>
      <c r="G13" s="35"/>
      <c r="H13" s="38"/>
      <c r="I13" s="63">
        <v>9.5000000000000001E-2</v>
      </c>
      <c r="K13" s="70">
        <v>0.1</v>
      </c>
      <c r="L13" s="38"/>
      <c r="M13" s="46"/>
    </row>
    <row r="14" spans="1:13" ht="16" customHeight="1">
      <c r="C14" s="49" t="s">
        <v>52</v>
      </c>
      <c r="D14" s="40" t="s">
        <v>62</v>
      </c>
      <c r="E14" s="33"/>
      <c r="F14" s="69">
        <v>0.16830000000000001</v>
      </c>
      <c r="G14" s="35"/>
      <c r="H14" s="38"/>
      <c r="I14" s="64">
        <v>0.91</v>
      </c>
      <c r="K14" s="70">
        <v>0.08</v>
      </c>
      <c r="L14" s="38"/>
      <c r="M14" s="46"/>
    </row>
    <row r="15" spans="1:13" ht="16" customHeight="1">
      <c r="C15" s="49" t="s">
        <v>53</v>
      </c>
      <c r="D15" s="40" t="s">
        <v>62</v>
      </c>
      <c r="E15" s="33"/>
      <c r="F15" s="69">
        <v>0.26429999999999998</v>
      </c>
      <c r="G15" s="35"/>
      <c r="H15" s="38"/>
      <c r="I15" s="64">
        <v>0.154</v>
      </c>
      <c r="K15" s="70">
        <v>0.13</v>
      </c>
      <c r="L15" s="38"/>
      <c r="M15" s="46"/>
    </row>
    <row r="16" spans="1:13" ht="16" customHeight="1">
      <c r="C16" s="49" t="s">
        <v>54</v>
      </c>
      <c r="D16" s="40" t="s">
        <v>62</v>
      </c>
      <c r="E16" s="33"/>
      <c r="F16" s="69">
        <v>0.20230000000000001</v>
      </c>
      <c r="G16" s="35"/>
      <c r="H16" s="38"/>
      <c r="I16" s="64">
        <v>0.125</v>
      </c>
      <c r="K16" s="70">
        <v>0.1</v>
      </c>
      <c r="L16" s="38"/>
      <c r="M16" s="46"/>
    </row>
    <row r="17" spans="3:13" ht="16" customHeight="1">
      <c r="C17" s="49" t="s">
        <v>55</v>
      </c>
      <c r="D17" s="32" t="s">
        <v>56</v>
      </c>
      <c r="E17" s="33"/>
      <c r="F17" s="69">
        <v>8</v>
      </c>
      <c r="H17" s="58"/>
      <c r="I17" s="61"/>
      <c r="K17" s="70">
        <v>8</v>
      </c>
      <c r="L17" s="38"/>
      <c r="M17" s="46"/>
    </row>
    <row r="18" spans="3:13" ht="16" customHeight="1">
      <c r="C18" s="49" t="s">
        <v>57</v>
      </c>
      <c r="D18" s="32" t="s">
        <v>58</v>
      </c>
      <c r="E18" s="33"/>
      <c r="F18" s="69">
        <v>9.4</v>
      </c>
      <c r="H18" s="58"/>
      <c r="I18" s="61"/>
      <c r="K18" s="70">
        <v>9.4</v>
      </c>
      <c r="L18" s="38"/>
      <c r="M18" s="46"/>
    </row>
    <row r="19" spans="3:13" ht="16" customHeight="1">
      <c r="C19" s="50" t="s">
        <v>60</v>
      </c>
      <c r="D19" s="39" t="s">
        <v>62</v>
      </c>
      <c r="E19" s="35"/>
      <c r="F19" s="39">
        <f>'Thal-Pro 2'!H15</f>
        <v>1.3300000000000001E-2</v>
      </c>
      <c r="H19" s="58"/>
      <c r="I19" s="61"/>
      <c r="K19" s="50"/>
      <c r="L19" s="38"/>
      <c r="M19" s="46"/>
    </row>
    <row r="20" spans="3:13" ht="16" customHeight="1">
      <c r="C20" s="51"/>
      <c r="D20" s="35"/>
      <c r="E20" s="35"/>
      <c r="F20" s="35"/>
      <c r="H20" s="58"/>
      <c r="I20" s="61"/>
      <c r="K20" s="50"/>
      <c r="L20" s="38"/>
      <c r="M20" s="46"/>
    </row>
    <row r="21" spans="3:13" ht="16" customHeight="1">
      <c r="C21" s="51" t="s">
        <v>48</v>
      </c>
      <c r="D21" s="36">
        <v>45383</v>
      </c>
      <c r="E21" s="35"/>
      <c r="F21" s="36">
        <v>45565.958333333336</v>
      </c>
      <c r="H21" s="58"/>
      <c r="I21" s="61"/>
      <c r="K21" s="50" t="s">
        <v>69</v>
      </c>
      <c r="L21" s="38"/>
      <c r="M21" s="46"/>
    </row>
    <row r="22" spans="3:13" ht="16" customHeight="1">
      <c r="C22" s="51" t="s">
        <v>49</v>
      </c>
      <c r="D22" s="36">
        <v>45292</v>
      </c>
      <c r="E22" s="35"/>
      <c r="F22" s="36">
        <v>45382.958333333336</v>
      </c>
      <c r="H22" s="58"/>
      <c r="I22" s="61"/>
      <c r="K22" s="50" t="s">
        <v>69</v>
      </c>
      <c r="L22" s="38"/>
      <c r="M22" s="46"/>
    </row>
    <row r="23" spans="3:13" ht="16" customHeight="1" thickBot="1">
      <c r="C23" s="52" t="s">
        <v>50</v>
      </c>
      <c r="D23" s="53">
        <v>45566</v>
      </c>
      <c r="E23" s="54"/>
      <c r="F23" s="53">
        <v>45657.958333333336</v>
      </c>
      <c r="G23" s="56"/>
      <c r="H23" s="59"/>
      <c r="I23" s="60"/>
      <c r="K23" s="50" t="s">
        <v>69</v>
      </c>
      <c r="L23" s="67"/>
      <c r="M23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Thal-Pro</vt:lpstr>
      <vt:lpstr>Thal-Pro 2</vt:lpstr>
      <vt:lpstr>Grab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20250807_Stromtarife_GrundversorgungTBThal 2026</dc:title>
  <dc:creator>python-docx</dc:creator>
  <cp:lastModifiedBy>Patrice Haldemann (VOLAG System AG)</cp:lastModifiedBy>
  <dcterms:created xsi:type="dcterms:W3CDTF">2025-10-19T06:22:48Z</dcterms:created>
  <dcterms:modified xsi:type="dcterms:W3CDTF">2025-11-04T18:43:04Z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2025-10-19T00:00:00Z</vt:filetime>
  </property>
  <property fmtid="{D5CDD505-2E9C-101B-9397-08002B2CF9AE}" pid="3" name="Creator">
    <vt:lpwstr>Power PDF Create</vt:lpwstr>
  </property>
  <property fmtid="{D5CDD505-2E9C-101B-9397-08002B2CF9AE}" pid="4" name="LastSaved">
    <vt:filetime>2025-10-19T00:00:00Z</vt:filetime>
  </property>
  <property fmtid="{D5CDD505-2E9C-101B-9397-08002B2CF9AE}" pid="5" name="Producer">
    <vt:lpwstr>macOS Version 26.0.1 (assemblage 25A362) Quartz PDFContext</vt:lpwstr>
  </property>
</Properties>
</file>